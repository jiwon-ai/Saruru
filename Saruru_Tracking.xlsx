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록" sheetId="1" state="visible" r:id="rId3"/>
    <sheet name="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<sst xmlns="http://schemas.openxmlformats.org/spreadsheetml/2006/main" count="25" uniqueCount="25">
  <si>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r>
      <rPr>
        <b val="true"/>
        <sz val="11"/>
        <color rgb="FFFFFFFF"/>
        <rFont val="Noto Sans CJK SC"/>
        <family val="2"/>
      </rPr>
      <t xml:space="preserve">참가자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</si>
  <si>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날짜</t>
  </si>
  <si>
    <t xml:space="preserve">채널</t>
  </si>
  <si>
    <t xml:space="preserve">사건 요약</t>
  </si>
  <si>
    <r>
      <rPr>
        <b val="true"/>
        <sz val="11"/>
        <color rgb="FFFFFFFF"/>
        <rFont val="Noto Sans CJK SC"/>
        <family val="2"/>
      </rPr>
      <t xml:space="preserve">효능</t>
    </r>
    <r>
      <rPr>
        <b val="true"/>
        <sz val="11"/>
        <color rgb="FFFFFFFF"/>
        <rFont val="Arial"/>
        <family val="0"/>
        <charset val="1"/>
      </rPr>
      <t xml:space="preserve">(0-10)</t>
    </r>
  </si>
  <si>
    <r>
      <rPr>
        <b val="true"/>
        <sz val="11"/>
        <color rgb="FFFFFFFF"/>
        <rFont val="Noto Sans CJK SC"/>
        <family val="2"/>
      </rPr>
      <t xml:space="preserve">재방문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예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아마도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아니오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</si>
  <si>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빈도</t>
  </si>
  <si>
    <r>
      <rPr>
        <b val="true"/>
        <sz val="11"/>
        <color rgb="FFFFFFFF"/>
        <rFont val="Noto Sans CJK SC"/>
        <family val="2"/>
      </rPr>
      <t xml:space="preserve">밤의식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매일쓸까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</si>
  <si>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코멘트</t>
  </si>
  <si>
    <r>
      <rPr>
        <b val="true"/>
        <sz val="11"/>
        <color rgb="FFFFFFFF"/>
        <rFont val="Arial"/>
        <family val="0"/>
        <charset val="1"/>
      </rPr>
      <t xml:space="preserve">WTP(</t>
    </r>
    <r>
      <rPr>
        <b val="true"/>
        <sz val="11"/>
        <color rgb="FFFFFFFF"/>
        <rFont val="Noto Sans CJK SC"/>
        <family val="2"/>
      </rPr>
      <t xml:space="preserve">개인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사장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</si>
  <si>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랜딩클릭</t>
    </r>
    <r>
      <rPr>
        <b val="true"/>
        <sz val="11"/>
        <color rgb="FFFFFFFF"/>
        <rFont val="Arial"/>
        <family val="0"/>
        <charset val="1"/>
      </rPr>
      <t xml:space="preserve">(Y/N)</t>
    </r>
  </si>
  <si>
    <r>
      <rPr>
        <b val="true"/>
        <sz val="11"/>
        <color rgb="FFFFFFFF"/>
        <rFont val="Noto Sans CJK SC"/>
        <family val="2"/>
      </rPr>
      <t xml:space="preserve">이메일등록</t>
    </r>
    <r>
      <rPr>
        <b val="true"/>
        <sz val="11"/>
        <color rgb="FFFFFFFF"/>
        <rFont val="Arial"/>
        <family val="0"/>
        <charset val="1"/>
      </rPr>
      <t xml:space="preserve">(Y/N)</t>
    </r>
  </si>
  <si>
    <t xml:space="preserve">지표</t>
  </si>
  <si>
    <t xml:space="preserve">값</t>
  </si>
  <si>
    <t xml:space="preserve">응답 수</t>
  </si>
  <si>
    <r>
      <rPr>
        <b val="true"/>
        <sz val="11"/>
        <rFont val="Noto Sans CJK SC"/>
        <family val="2"/>
      </rPr>
      <t xml:space="preserve">효능 평균</t>
    </r>
    <r>
      <rPr>
        <b val="true"/>
        <sz val="11"/>
        <rFont val="Arial"/>
        <family val="0"/>
        <charset val="1"/>
      </rPr>
      <t xml:space="preserve">(0-10)</t>
    </r>
  </si>
  <si>
    <r>
      <rPr>
        <b val="true"/>
        <sz val="11"/>
        <rFont val="Noto Sans CJK SC"/>
        <family val="2"/>
      </rPr>
      <t xml:space="preserve">재방문 </t>
    </r>
    <r>
      <rPr>
        <b val="true"/>
        <sz val="11"/>
        <rFont val="Arial"/>
        <family val="0"/>
        <charset val="1"/>
      </rPr>
      <t xml:space="preserve">'</t>
    </r>
    <r>
      <rPr>
        <b val="true"/>
        <sz val="11"/>
        <rFont val="Noto Sans CJK SC"/>
        <family val="2"/>
      </rPr>
      <t xml:space="preserve">예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아마도</t>
    </r>
    <r>
      <rPr>
        <b val="true"/>
        <sz val="11"/>
        <rFont val="Arial"/>
        <family val="0"/>
        <charset val="1"/>
      </rPr>
      <t xml:space="preserve">' </t>
    </r>
    <r>
      <rPr>
        <b val="true"/>
        <sz val="11"/>
        <rFont val="Noto Sans CJK SC"/>
        <family val="2"/>
      </rPr>
      <t xml:space="preserve">비율</t>
    </r>
  </si>
  <si>
    <r>
      <rPr>
        <b val="true"/>
        <sz val="11"/>
        <rFont val="Noto Sans CJK SC"/>
        <family val="2"/>
      </rPr>
      <t xml:space="preserve">밤의식 </t>
    </r>
    <r>
      <rPr>
        <b val="true"/>
        <sz val="11"/>
        <rFont val="Arial"/>
        <family val="0"/>
        <charset val="1"/>
      </rPr>
      <t xml:space="preserve">'</t>
    </r>
    <r>
      <rPr>
        <b val="true"/>
        <sz val="11"/>
        <rFont val="Noto Sans CJK SC"/>
        <family val="2"/>
      </rPr>
      <t xml:space="preserve">예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아마도</t>
    </r>
    <r>
      <rPr>
        <b val="true"/>
        <sz val="11"/>
        <rFont val="Arial"/>
        <family val="0"/>
        <charset val="1"/>
      </rPr>
      <t xml:space="preserve">' </t>
    </r>
    <r>
      <rPr>
        <b val="true"/>
        <sz val="11"/>
        <rFont val="Noto Sans CJK SC"/>
        <family val="2"/>
      </rPr>
      <t xml:space="preserve">비율</t>
    </r>
  </si>
  <si>
    <r>
      <rPr>
        <b val="true"/>
        <sz val="11"/>
        <rFont val="Noto Sans CJK SC"/>
        <family val="2"/>
      </rPr>
      <t xml:space="preserve">빈도</t>
    </r>
    <r>
      <rPr>
        <b val="true"/>
        <sz val="11"/>
        <rFont val="Arial"/>
        <family val="0"/>
        <charset val="1"/>
      </rPr>
      <t xml:space="preserve">: </t>
    </r>
    <r>
      <rPr>
        <b val="true"/>
        <sz val="11"/>
        <rFont val="Noto Sans CJK SC"/>
        <family val="2"/>
      </rPr>
      <t xml:space="preserve">주 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회 이상</t>
    </r>
  </si>
  <si>
    <r>
      <rPr>
        <b val="true"/>
        <sz val="11"/>
        <rFont val="Noto Sans CJK SC"/>
        <family val="2"/>
      </rPr>
      <t xml:space="preserve">빈도</t>
    </r>
    <r>
      <rPr>
        <b val="true"/>
        <sz val="11"/>
        <rFont val="Arial"/>
        <family val="0"/>
        <charset val="1"/>
      </rPr>
      <t xml:space="preserve">: </t>
    </r>
    <r>
      <rPr>
        <b val="true"/>
        <sz val="11"/>
        <rFont val="Noto Sans CJK SC"/>
        <family val="2"/>
      </rPr>
      <t xml:space="preserve">월 몇 번</t>
    </r>
  </si>
  <si>
    <r>
      <rPr>
        <b val="true"/>
        <sz val="11"/>
        <rFont val="Noto Sans CJK SC"/>
        <family val="2"/>
      </rPr>
      <t xml:space="preserve">랜딩 클릭</t>
    </r>
    <r>
      <rPr>
        <b val="true"/>
        <sz val="11"/>
        <rFont val="Arial"/>
        <family val="0"/>
        <charset val="1"/>
      </rPr>
      <t xml:space="preserve">(Y)</t>
    </r>
  </si>
  <si>
    <r>
      <rPr>
        <b val="true"/>
        <sz val="11"/>
        <rFont val="Noto Sans CJK SC"/>
        <family val="2"/>
      </rPr>
      <t xml:space="preserve">이메일 등록</t>
    </r>
    <r>
      <rPr>
        <b val="true"/>
        <sz val="11"/>
        <rFont val="Arial"/>
        <family val="0"/>
        <charset val="1"/>
      </rPr>
      <t xml:space="preserve">(Y)</t>
    </r>
  </si>
  <si>
    <r>
      <rPr>
        <b val="true"/>
        <sz val="11"/>
        <rFont val="Arial"/>
        <family val="0"/>
        <charset val="1"/>
      </rPr>
      <t xml:space="preserve">WTP: </t>
    </r>
    <r>
      <rPr>
        <b val="true"/>
        <sz val="11"/>
        <rFont val="Noto Sans CJK SC"/>
        <family val="2"/>
      </rPr>
      <t xml:space="preserve">개인</t>
    </r>
  </si>
  <si>
    <r>
      <rPr>
        <b val="true"/>
        <sz val="11"/>
        <rFont val="Arial"/>
        <family val="0"/>
        <charset val="1"/>
      </rPr>
      <t xml:space="preserve">WTP: </t>
    </r>
    <r>
      <rPr>
        <b val="true"/>
        <sz val="11"/>
        <rFont val="Noto Sans CJK SC"/>
        <family val="2"/>
      </rPr>
      <t xml:space="preserve">사장</t>
    </r>
  </si>
  <si>
    <r>
      <rPr>
        <i val="true"/>
        <sz val="11"/>
        <color rgb="FF586070"/>
        <rFont val="Noto Sans CJK SC"/>
        <family val="2"/>
      </rPr>
      <t xml:space="preserve">통과 기준</t>
    </r>
    <r>
      <rPr>
        <i val="true"/>
        <sz val="11"/>
        <color rgb="FF586070"/>
        <rFont val="Arial"/>
        <family val="0"/>
        <charset val="1"/>
      </rPr>
      <t xml:space="preserve">(</t>
    </r>
    <r>
      <rPr>
        <i val="true"/>
        <sz val="11"/>
        <color rgb="FF586070"/>
        <rFont val="Noto Sans CJK SC"/>
        <family val="2"/>
      </rPr>
      <t xml:space="preserve">참고</t>
    </r>
    <r>
      <rPr>
        <i val="true"/>
        <sz val="11"/>
        <color rgb="FF586070"/>
        <rFont val="Arial"/>
        <family val="0"/>
        <charset val="1"/>
      </rPr>
      <t xml:space="preserve">): </t>
    </r>
    <r>
      <rPr>
        <i val="true"/>
        <sz val="11"/>
        <color rgb="FF586070"/>
        <rFont val="Noto Sans CJK SC"/>
        <family val="2"/>
      </rPr>
      <t xml:space="preserve">효능 평균 ≥ </t>
    </r>
    <r>
      <rPr>
        <i val="true"/>
        <sz val="11"/>
        <color rgb="FF586070"/>
        <rFont val="Arial"/>
        <family val="0"/>
        <charset val="1"/>
      </rPr>
      <t xml:space="preserve">6, </t>
    </r>
    <r>
      <rPr>
        <i val="true"/>
        <sz val="11"/>
        <color rgb="FF586070"/>
        <rFont val="Noto Sans CJK SC"/>
        <family val="2"/>
      </rPr>
      <t xml:space="preserve">재방문 ≥ </t>
    </r>
    <r>
      <rPr>
        <i val="true"/>
        <sz val="11"/>
        <color rgb="FF586070"/>
        <rFont val="Arial"/>
        <family val="0"/>
        <charset val="1"/>
      </rPr>
      <t xml:space="preserve">60%, </t>
    </r>
    <r>
      <rPr>
        <i val="true"/>
        <sz val="11"/>
        <color rgb="FF586070"/>
        <rFont val="Noto Sans CJK SC"/>
        <family val="2"/>
      </rPr>
      <t xml:space="preserve">빈도 </t>
    </r>
    <r>
      <rPr>
        <i val="true"/>
        <sz val="11"/>
        <color rgb="FF586070"/>
        <rFont val="Arial"/>
        <family val="0"/>
        <charset val="1"/>
      </rPr>
      <t xml:space="preserve">'</t>
    </r>
    <r>
      <rPr>
        <i val="true"/>
        <sz val="11"/>
        <color rgb="FF586070"/>
        <rFont val="Noto Sans CJK SC"/>
        <family val="2"/>
      </rPr>
      <t xml:space="preserve">주 </t>
    </r>
    <r>
      <rPr>
        <i val="true"/>
        <sz val="11"/>
        <color rgb="FF586070"/>
        <rFont val="Arial"/>
        <family val="0"/>
        <charset val="1"/>
      </rPr>
      <t xml:space="preserve">1</t>
    </r>
    <r>
      <rPr>
        <i val="true"/>
        <sz val="11"/>
        <color rgb="FF586070"/>
        <rFont val="Noto Sans CJK SC"/>
        <family val="2"/>
      </rPr>
      <t xml:space="preserve">회 이상</t>
    </r>
    <r>
      <rPr>
        <i val="true"/>
        <sz val="11"/>
        <color rgb="FF586070"/>
        <rFont val="Arial"/>
        <family val="0"/>
        <charset val="1"/>
      </rPr>
      <t xml:space="preserve">' </t>
    </r>
    <r>
      <rPr>
        <i val="true"/>
        <sz val="11"/>
        <color rgb="FF586070"/>
        <rFont val="Noto Sans CJK SC"/>
        <family val="2"/>
      </rPr>
      <t xml:space="preserve">다수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</si>
</sst>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i val="true"/>
      <sz val="11"/>
      <color rgb="FF586070"/>
      <name val="Noto Sans CJK SC"/>
      <family val="2"/>
    </font>
    <font>
      <i val="true"/>
      <sz val="11"/>
      <color rgb="FF58607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E8AAE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E8AAE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860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5"/>
  </cols>
  <sheetData>
    <row r="1" customFormat="false" ht="3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</sheetData>
  <dataValidations count="6">
    <dataValidation allowBlank="true" errorStyle="stop" operator="between" showDropDown="false" showErrorMessage="false" showInputMessage="false" sqref="F2:F300" type="list">
      <formula1>"예,아마도,아니오"</formula1>
      <formula2>0</formula2>
    </dataValidation>
    <dataValidation allowBlank="true" errorStyle="stop" operator="between" showDropDown="false" showErrorMessage="false" showInputMessage="false" sqref="G2:G300" type="list">
      <formula1>"하루에 여러 번,주 1회 이상,월 몇 번,거의 없음"</formula1>
      <formula2>0</formula2>
    </dataValidation>
    <dataValidation allowBlank="true" errorStyle="stop" operator="between" showDropDown="false" showErrorMessage="false" showInputMessage="false" sqref="H2:H300" type="list">
      <formula1>"예,아마도,아니오"</formula1>
      <formula2>0</formula2>
    </dataValidation>
    <dataValidation allowBlank="true" errorStyle="stop" operator="between" showDropDown="false" showErrorMessage="false" showInputMessage="false" sqref="J2:J300" type="list">
      <formula1>"개인,사장"</formula1>
      <formula2>0</formula2>
    </dataValidation>
    <dataValidation allowBlank="true" errorStyle="stop" operator="between" showDropDown="false" showErrorMessage="false" showInputMessage="false" sqref="K2:K300" type="list">
      <formula1>"Y,N"</formula1>
      <formula2>0</formula2>
    </dataValidation>
    <dataValidation allowBlank="true" errorStyle="stop" operator="between" showDropDown="false" showErrorMessage="false" showInputMessage="false" sqref="L2:L3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4" t="s">
        <v>12</v>
      </c>
      <c r="B1" s="4" t="s">
        <v>13</v>
      </c>
    </row>
    <row r="2" customFormat="false" ht="15" hidden="false" customHeight="false" outlineLevel="0" collapsed="false">
      <c r="A2" s="5" t="s">
        <v>14</v>
      </c>
      <c r="B2" s="3" t="n">
        <f aca="false">COUNTA(기록!A2:A300)</f>
        <v>0</v>
      </c>
    </row>
    <row r="3" customFormat="false" ht="17.15" hidden="false" customHeight="false" outlineLevel="0" collapsed="false">
      <c r="A3" s="5" t="s">
        <v>15</v>
      </c>
      <c r="B3" s="3" t="str">
        <f aca="false">IFERROR(AVERAGE(기록!E2:E300),"-")</f>
        <v>-</v>
      </c>
    </row>
    <row r="4" customFormat="false" ht="17.15" hidden="false" customHeight="false" outlineLevel="0" collapsed="false">
      <c r="A4" s="5" t="s">
        <v>16</v>
      </c>
      <c r="B4" s="6" t="str">
        <f aca="false">IFERROR((COUNTIF(기록!F2:F300,"예")+COUNTIF(기록!F2:F300,"아마도"))/COUNTA(기록!F2:F300),"-")</f>
        <v>-</v>
      </c>
    </row>
    <row r="5" customFormat="false" ht="17.15" hidden="false" customHeight="false" outlineLevel="0" collapsed="false">
      <c r="A5" s="5" t="s">
        <v>17</v>
      </c>
      <c r="B5" s="6" t="str">
        <f aca="false">IFERROR((COUNTIF(기록!H2:H300,"예")+COUNTIF(기록!H2:H300,"아마도"))/COUNTA(기록!H2:H300),"-")</f>
        <v>-</v>
      </c>
    </row>
    <row r="6" customFormat="false" ht="17.15" hidden="false" customHeight="false" outlineLevel="0" collapsed="false">
      <c r="A6" s="5" t="s">
        <v>18</v>
      </c>
      <c r="B6" s="3" t="n">
        <f aca="false">COUNTIF(기록!G2:G300,"주 1회 이상")</f>
        <v>0</v>
      </c>
    </row>
    <row r="7" customFormat="false" ht="17.15" hidden="false" customHeight="false" outlineLevel="0" collapsed="false">
      <c r="A7" s="5" t="s">
        <v>19</v>
      </c>
      <c r="B7" s="3" t="n">
        <f aca="false">COUNTIF(기록!G2:G300,"월 몇 번")</f>
        <v>0</v>
      </c>
    </row>
    <row r="8" customFormat="false" ht="17.15" hidden="false" customHeight="false" outlineLevel="0" collapsed="false">
      <c r="A8" s="5" t="s">
        <v>20</v>
      </c>
      <c r="B8" s="3" t="n">
        <f aca="false">COUNTIF(기록!K2:K300,"Y")</f>
        <v>0</v>
      </c>
    </row>
    <row r="9" customFormat="false" ht="17.15" hidden="false" customHeight="false" outlineLevel="0" collapsed="false">
      <c r="A9" s="5" t="s">
        <v>21</v>
      </c>
      <c r="B9" s="3" t="n">
        <f aca="false">COUNTIF(기록!L2:L300,"Y")</f>
        <v>0</v>
      </c>
    </row>
    <row r="10" customFormat="false" ht="17.15" hidden="false" customHeight="false" outlineLevel="0" collapsed="false">
      <c r="A10" s="7" t="s">
        <v>22</v>
      </c>
      <c r="B10" s="3" t="n">
        <f aca="false">COUNTIF(기록!J2:J300,"개인")</f>
        <v>0</v>
      </c>
    </row>
    <row r="11" customFormat="false" ht="17.15" hidden="false" customHeight="false" outlineLevel="0" collapsed="false">
      <c r="A11" s="7" t="s">
        <v>23</v>
      </c>
      <c r="B11" s="3" t="n">
        <f aca="false">COUNTIF(기록!J2:J300,"사장")</f>
        <v>0</v>
      </c>
    </row>
    <row r="13" customFormat="false" ht="17.15" hidden="false" customHeight="false" outlineLevel="0" collapsed="false">
      <c r="A13" s="8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2026-06-30T02:08:05Z</dcterms:created>
  <dc:creator>openpyxl</dc:creator>
  <dc:description/>
  <dc:language>en-US</dc:language>
  <cp:lastModifiedBy/>
  <dcterms:modified xsi:type="dcterms:W3CDTF">2026-06-30T02:08:05Z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